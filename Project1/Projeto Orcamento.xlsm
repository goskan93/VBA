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228" codeName="{EFFCB103-AD96-A003-248E-DF2DB03C906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atal\Documents\VBA\Projeto Orçamento\"/>
    </mc:Choice>
  </mc:AlternateContent>
  <xr:revisionPtr revIDLastSave="0" documentId="13_ncr:1_{AC1276E4-36E0-4A7F-A5D1-FA3B019F1FA0}" xr6:coauthVersionLast="34" xr6:coauthVersionMax="34" xr10:uidLastSave="{00000000-0000-0000-0000-000000000000}"/>
  <bookViews>
    <workbookView xWindow="0" yWindow="0" windowWidth="20490" windowHeight="7545" tabRatio="850" activeTab="2" xr2:uid="{00000000-000D-0000-FFFF-FFFF00000000}"/>
  </bookViews>
  <sheets>
    <sheet name="Produtos" sheetId="1" r:id="rId1"/>
    <sheet name="Clientes" sheetId="8" r:id="rId2"/>
    <sheet name="Fornecedor" sheetId="2" r:id="rId3"/>
    <sheet name="Orcamentos Salvos" sheetId="4" r:id="rId4"/>
    <sheet name="Orcamento Matriz" sheetId="6" r:id="rId5"/>
    <sheet name="Orcamento para Impressao" sheetId="7" r:id="rId6"/>
    <sheet name="LISTAS" sheetId="5" r:id="rId7"/>
  </sheets>
  <definedNames>
    <definedName name="_xlnm._FilterDatabase" localSheetId="0" hidden="1">Produtos!$B$2:$C$22</definedName>
    <definedName name="_Fornecedores">Fornecedor!#REF!</definedName>
    <definedName name="_Marcas">OFFSET(LISTAS!$C$2,0,0,COUNTA(LISTAS!$C:$C)-1,1)</definedName>
    <definedName name="_Orcamento">LISTAS!$M$2:$N$3</definedName>
    <definedName name="_OrcamentoImprimir">'Orcamentos Salvos'!$B$6:$H$9</definedName>
    <definedName name="_Print_Area" localSheetId="4">'Orcamento Matriz'!$B$2:$J$53</definedName>
    <definedName name="_Produtos">LISTAS!$E$2:$F$19</definedName>
    <definedName name="_UnidadesVenda">OFFSET(LISTAS!$A$2,0,0,COUNTA(LISTAS!$A:$A)-1,1)</definedName>
    <definedName name="_xlnm.Extract" localSheetId="6">LISTAS!$E$2:$F$2</definedName>
    <definedName name="UnidadesVenda">OFFSET(LISTAS!$A$2,0,0,COUNTA(LISTAS!$A:$A)-1,1)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6" i="7" l="1"/>
  <c r="F45" i="7"/>
  <c r="E14" i="7"/>
  <c r="E12" i="7"/>
  <c r="E10" i="7"/>
</calcChain>
</file>

<file path=xl/sharedStrings.xml><?xml version="1.0" encoding="utf-8"?>
<sst xmlns="http://schemas.openxmlformats.org/spreadsheetml/2006/main" count="233" uniqueCount="99">
  <si>
    <t>Unidades de Venda</t>
  </si>
  <si>
    <t xml:space="preserve">Marcas de Produtos </t>
  </si>
  <si>
    <t xml:space="preserve">Produtos </t>
  </si>
  <si>
    <t>Código Fornecedor</t>
  </si>
  <si>
    <t>Dias de validade da proposta</t>
  </si>
  <si>
    <t>Quilos</t>
  </si>
  <si>
    <t>Litro</t>
  </si>
  <si>
    <t>Pacote</t>
  </si>
  <si>
    <t>Unidade</t>
  </si>
  <si>
    <t>Garrafa</t>
  </si>
  <si>
    <t xml:space="preserve">Gramas </t>
  </si>
  <si>
    <t>Lata</t>
  </si>
  <si>
    <t>Marca 1</t>
  </si>
  <si>
    <t>Marca 2</t>
  </si>
  <si>
    <t>Marca 3</t>
  </si>
  <si>
    <t>Marca 4</t>
  </si>
  <si>
    <t>Código</t>
  </si>
  <si>
    <t>Código Interno</t>
  </si>
  <si>
    <t>Descrição</t>
  </si>
  <si>
    <t>Código do Fornecedor</t>
  </si>
  <si>
    <t>Marca</t>
  </si>
  <si>
    <t>Unidade de Venda</t>
  </si>
  <si>
    <t>Valor Unitário</t>
  </si>
  <si>
    <t>CNPJ/CPF</t>
  </si>
  <si>
    <t>Nome do fornecedor</t>
  </si>
  <si>
    <t>Telefone</t>
  </si>
  <si>
    <t>Contato</t>
  </si>
  <si>
    <t>Data da última compra</t>
  </si>
  <si>
    <t>Alterado por</t>
  </si>
  <si>
    <t>&lt;insira aqui o logotipo da sua empresa&gt;</t>
  </si>
  <si>
    <t>&lt;Insira aqui o nome da empresa&gt;</t>
  </si>
  <si>
    <t>&lt;insira aqui o endereço&gt;</t>
  </si>
  <si>
    <t>Validade</t>
  </si>
  <si>
    <t>Emissão</t>
  </si>
  <si>
    <t>Cód.Prod</t>
  </si>
  <si>
    <t>Qtd</t>
  </si>
  <si>
    <t>Vl.Unit.</t>
  </si>
  <si>
    <t>Vl.Total</t>
  </si>
  <si>
    <t>Total de itens</t>
  </si>
  <si>
    <t>Valor total do Orçamento</t>
  </si>
  <si>
    <t xml:space="preserve">Número do Orçamento </t>
  </si>
  <si>
    <t>Código do Produto</t>
  </si>
  <si>
    <t>Quantidade</t>
  </si>
  <si>
    <t>Vl. Unitário</t>
  </si>
  <si>
    <t>Vl. Total</t>
  </si>
  <si>
    <t>Dados da Empresa</t>
  </si>
  <si>
    <t>Nome</t>
  </si>
  <si>
    <t>Endereço</t>
  </si>
  <si>
    <t>http://www.sigaonerd.com</t>
  </si>
  <si>
    <t>Bairro</t>
  </si>
  <si>
    <t>Cidade</t>
  </si>
  <si>
    <t>Estado</t>
  </si>
  <si>
    <t>SP</t>
  </si>
  <si>
    <t>CEP</t>
  </si>
  <si>
    <t>111.222.333-44</t>
  </si>
  <si>
    <t>Natalia Goska</t>
  </si>
  <si>
    <t>Jardim do Trevo</t>
  </si>
  <si>
    <t>Campinas</t>
  </si>
  <si>
    <t>13030-117</t>
  </si>
  <si>
    <t>Nr. Orçamento</t>
  </si>
  <si>
    <t>CNPJ / CPF</t>
  </si>
  <si>
    <t>Nome do cliente</t>
  </si>
  <si>
    <t>Campinas - SP - CEP: 13030-117</t>
  </si>
  <si>
    <t>Creme de Leite</t>
  </si>
  <si>
    <t>Bolacha Água e Sal</t>
  </si>
  <si>
    <t>Bolacha Maisena</t>
  </si>
  <si>
    <t>Sabonete Glicerina</t>
  </si>
  <si>
    <t>Detergente Neutro</t>
  </si>
  <si>
    <t>Detergente Normal</t>
  </si>
  <si>
    <t>Sabão em Pó</t>
  </si>
  <si>
    <t>Suco em Pó</t>
  </si>
  <si>
    <t>Marca 5</t>
  </si>
  <si>
    <t>Refrigerante Laranja</t>
  </si>
  <si>
    <t>Marca 6</t>
  </si>
  <si>
    <t>Refrigerante Guaraná</t>
  </si>
  <si>
    <t>Refrigerante Tubaina</t>
  </si>
  <si>
    <t>Água Mineral 300ml</t>
  </si>
  <si>
    <t>Marca 7</t>
  </si>
  <si>
    <t>Pasta de Dente</t>
  </si>
  <si>
    <t>teste</t>
  </si>
  <si>
    <t>Lata de Leite xx</t>
  </si>
  <si>
    <t>Leite condensado sup</t>
  </si>
  <si>
    <t>nati</t>
  </si>
  <si>
    <t>Data da Última Compra</t>
  </si>
  <si>
    <t>11222333444458</t>
  </si>
  <si>
    <t>NATAL</t>
  </si>
  <si>
    <t>Israel Camp</t>
  </si>
  <si>
    <t>Clientes</t>
  </si>
  <si>
    <t>213123123</t>
  </si>
  <si>
    <t>876685678568</t>
  </si>
  <si>
    <t>234</t>
  </si>
  <si>
    <t>Orçamento</t>
  </si>
  <si>
    <t>9784575679784</t>
  </si>
  <si>
    <t>9789767867</t>
  </si>
  <si>
    <t>Recebido por:</t>
  </si>
  <si>
    <t>15/07/2018</t>
  </si>
  <si>
    <t>(11)1234.5677342</t>
  </si>
  <si>
    <t>Extra AtendimentoFSD</t>
  </si>
  <si>
    <t>21/07/2018 - 16:47:11 (Ultima alteraçao)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</si>
</sst>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R$&quot;#,##0.00;\-&quot;R$&quot;#,##0.00"/>
    <numFmt numFmtId="164" formatCode="&quot;R$&quot;\ #,##0.00;\-&quot;R$&quot;\ #,##0.00"/>
    <numFmt numFmtId="165" formatCode="&quot;R$&quot;\ #,##0.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3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6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4" borderId="1" xfId="0" applyFill="1" applyBorder="1"/>
    <xf numFmtId="165" fontId="0" fillId="4" borderId="1" xfId="0" applyNumberFormat="1" applyFill="1" applyBorder="1"/>
    <xf numFmtId="165" fontId="0" fillId="0" borderId="0" xfId="0" applyNumberFormat="1"/>
    <xf numFmtId="0" fontId="0" fillId="5" borderId="1" xfId="0" applyFill="1" applyBorder="1"/>
    <xf numFmtId="0" fontId="0" fillId="0" borderId="4" xfId="0" applyBorder="1"/>
    <xf numFmtId="0" fontId="0" fillId="0" borderId="3" xfId="0" applyBorder="1"/>
    <xf numFmtId="0" fontId="0" fillId="0" borderId="2" xfId="0" applyBorder="1"/>
    <xf numFmtId="0" fontId="0" fillId="0" borderId="5" xfId="0" applyBorder="1"/>
    <xf numFmtId="0" fontId="0" fillId="0" borderId="6" xfId="0" applyBorder="1"/>
    <xf numFmtId="0" fontId="0" fillId="7" borderId="0" xfId="0" applyFill="1" applyAlignment="1">
      <alignment horizontal="center"/>
    </xf>
    <xf numFmtId="0" fontId="5" fillId="7" borderId="0" xfId="1" applyFill="1" applyAlignment="1">
      <alignment horizontal="center"/>
    </xf>
    <xf numFmtId="0" fontId="0" fillId="7" borderId="0" xfId="0" quotePrefix="1" applyFill="1" applyAlignment="1">
      <alignment horizontal="center"/>
    </xf>
    <xf numFmtId="0" fontId="0" fillId="8" borderId="4" xfId="0" applyFill="1" applyBorder="1"/>
    <xf numFmtId="0" fontId="0" fillId="8" borderId="3" xfId="0" applyFill="1" applyBorder="1"/>
    <xf numFmtId="0" fontId="0" fillId="8" borderId="2" xfId="0" applyFill="1" applyBorder="1"/>
    <xf numFmtId="0" fontId="0" fillId="0" borderId="0" xfId="0" applyBorder="1"/>
    <xf numFmtId="0" fontId="0" fillId="8" borderId="0" xfId="0" applyFill="1" applyBorder="1"/>
    <xf numFmtId="0" fontId="0" fillId="0" borderId="8" xfId="0" applyBorder="1"/>
    <xf numFmtId="0" fontId="0" fillId="0" borderId="9" xfId="0" applyBorder="1"/>
    <xf numFmtId="0" fontId="0" fillId="8" borderId="8" xfId="0" applyFill="1" applyBorder="1"/>
    <xf numFmtId="0" fontId="0" fillId="8" borderId="9" xfId="0" applyFill="1" applyBorder="1"/>
    <xf numFmtId="0" fontId="1" fillId="3" borderId="7" xfId="0" applyFont="1" applyFill="1" applyBorder="1" applyAlignment="1">
      <alignment horizontal="center"/>
    </xf>
    <xf numFmtId="0" fontId="1" fillId="3" borderId="7" xfId="0" applyFont="1" applyFill="1" applyBorder="1" applyAlignment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1" fillId="0" borderId="13" xfId="0" applyFont="1" applyBorder="1" applyAlignment="1">
      <alignment horizontal="right"/>
    </xf>
    <xf numFmtId="164" fontId="1" fillId="0" borderId="13" xfId="0" applyNumberFormat="1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0" xfId="0" applyFill="1"/>
    <xf numFmtId="0" fontId="0" fillId="0" borderId="0" xfId="0" applyFill="1" applyBorder="1"/>
    <xf numFmtId="0" fontId="0" fillId="0" borderId="0" xfId="0" applyFill="1" applyBorder="1" applyAlignment="1"/>
    <xf numFmtId="0" fontId="6" fillId="0" borderId="0" xfId="0" applyFont="1" applyAlignment="1">
      <alignment horizontal="right"/>
    </xf>
    <xf numFmtId="0" fontId="0" fillId="8" borderId="1" xfId="0" applyFill="1" applyBorder="1"/>
    <xf numFmtId="0" fontId="0" fillId="0" borderId="1" xfId="0" applyBorder="1"/>
    <xf numFmtId="1" fontId="0" fillId="0" borderId="1" xfId="0" applyNumberFormat="1" applyBorder="1"/>
    <xf numFmtId="165" fontId="0" fillId="0" borderId="1" xfId="0" applyNumberFormat="1" applyBorder="1"/>
    <xf numFmtId="0" fontId="0" fillId="2" borderId="1" xfId="0" applyFill="1" applyBorder="1"/>
    <xf numFmtId="0" fontId="0" fillId="0" borderId="0" xfId="0" quotePrefix="1"/>
    <xf numFmtId="0" fontId="0" fillId="0" borderId="10" xfId="0" quotePrefix="1" applyBorder="1"/>
    <xf numFmtId="7" fontId="0" fillId="0" borderId="10" xfId="0" applyNumberFormat="1" applyBorder="1"/>
    <xf numFmtId="0" fontId="0" fillId="0" borderId="11" xfId="0" quotePrefix="1" applyBorder="1"/>
    <xf numFmtId="7" fontId="0" fillId="0" borderId="11" xfId="0" applyNumberFormat="1" applyBorder="1"/>
    <xf numFmtId="0" fontId="6" fillId="0" borderId="0" xfId="0" applyFont="1" applyAlignment="1">
      <alignment horizontal="right"/>
    </xf>
    <xf numFmtId="0" fontId="8" fillId="8" borderId="0" xfId="0" applyFont="1" applyFill="1" applyBorder="1" applyAlignment="1">
      <alignment horizontal="center"/>
    </xf>
    <xf numFmtId="14" fontId="8" fillId="7" borderId="0" xfId="0" applyNumberFormat="1" applyFont="1" applyFill="1" applyBorder="1" applyAlignment="1">
      <alignment horizontal="center"/>
    </xf>
    <xf numFmtId="0" fontId="4" fillId="6" borderId="15" xfId="0" applyFont="1" applyFill="1" applyBorder="1" applyAlignment="1">
      <alignment wrapText="1"/>
    </xf>
    <xf numFmtId="0" fontId="4" fillId="6" borderId="14" xfId="0" applyFont="1" applyFill="1" applyBorder="1" applyAlignment="1">
      <alignment wrapText="1"/>
    </xf>
    <xf numFmtId="0" fontId="0" fillId="0" borderId="0" xfId="0" applyAlignment="1">
      <alignment wrapText="1"/>
    </xf>
    <xf numFmtId="0" fontId="1" fillId="0" borderId="17" xfId="0" applyFont="1" applyBorder="1" applyAlignment="1">
      <alignment horizontal="right"/>
    </xf>
    <xf numFmtId="0" fontId="1" fillId="0" borderId="17" xfId="0" applyFont="1" applyBorder="1" applyAlignment="1">
      <alignment horizontal="center"/>
    </xf>
    <xf numFmtId="164" fontId="1" fillId="0" borderId="17" xfId="0" applyNumberFormat="1" applyFont="1" applyBorder="1" applyAlignment="1">
      <alignment horizontal="center"/>
    </xf>
    <xf numFmtId="0" fontId="0" fillId="0" borderId="16" xfId="0" applyBorder="1"/>
    <xf numFmtId="0" fontId="0" fillId="0" borderId="0" xfId="0" applyFont="1" applyBorder="1" applyAlignment="1">
      <alignment horizontal="right"/>
    </xf>
    <xf numFmtId="14" fontId="0" fillId="7" borderId="0" xfId="0" applyNumberFormat="1" applyFill="1" applyBorder="1"/>
    <xf numFmtId="0" fontId="0" fillId="0" borderId="0" xfId="0" applyBorder="1" applyAlignment="1">
      <alignment horizontal="center"/>
    </xf>
    <xf numFmtId="14" fontId="8" fillId="7" borderId="0" xfId="0" applyNumberFormat="1" applyFont="1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2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/>
    </xf>
    <xf numFmtId="0" fontId="6" fillId="0" borderId="0" xfId="0" applyFont="1" applyAlignment="1">
      <alignment horizontal="right"/>
    </xf>
    <xf numFmtId="0" fontId="7" fillId="0" borderId="0" xfId="0" applyFont="1" applyBorder="1" applyAlignment="1">
      <alignment horizontal="center"/>
    </xf>
    <xf numFmtId="0" fontId="0" fillId="2" borderId="0" xfId="0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http://www.sigaonerd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1"/>
  <sheetViews>
    <sheetView workbookViewId="0"/>
  </sheetViews>
  <sheetFormatPr defaultRowHeight="15" x14ac:dyDescent="0.25"/>
  <cols>
    <col min="1" max="1" width="7" customWidth="1"/>
    <col min="2" max="2" width="20.140625" bestFit="1" customWidth="1"/>
    <col min="3" max="3" width="20.7109375" bestFit="1" customWidth="1"/>
    <col min="4" max="4" width="7.7109375" bestFit="1" customWidth="1"/>
    <col min="5" max="5" width="8.140625" customWidth="1"/>
    <col min="6" max="6" width="13.42578125" style="5" bestFit="1" customWidth="1"/>
  </cols>
  <sheetData>
    <row r="1" spans="1:6" x14ac:dyDescent="0.25">
      <c r="A1" s="3" t="s">
        <v>17</v>
      </c>
      <c r="B1" s="3" t="s">
        <v>18</v>
      </c>
      <c r="C1" s="3" t="s">
        <v>19</v>
      </c>
      <c r="D1" s="3" t="s">
        <v>20</v>
      </c>
      <c r="E1" s="3" t="s">
        <v>21</v>
      </c>
      <c r="F1" s="4" t="s">
        <v>22</v>
      </c>
    </row>
    <row r="2" spans="1:6" x14ac:dyDescent="0.25">
      <c r="A2" s="37">
        <v>1</v>
      </c>
      <c r="B2" s="37" t="s">
        <v>80</v>
      </c>
      <c r="C2" s="38">
        <v>2223333</v>
      </c>
      <c r="D2" s="37" t="s">
        <v>12</v>
      </c>
      <c r="E2" s="37" t="s">
        <v>6</v>
      </c>
      <c r="F2" s="39">
        <v>1.8</v>
      </c>
    </row>
    <row r="3" spans="1:6" x14ac:dyDescent="0.25">
      <c r="A3" s="37">
        <v>2</v>
      </c>
      <c r="B3" s="37" t="s">
        <v>81</v>
      </c>
      <c r="C3" s="38">
        <v>1123232</v>
      </c>
      <c r="D3" s="37" t="s">
        <v>12</v>
      </c>
      <c r="E3" s="37" t="s">
        <v>11</v>
      </c>
      <c r="F3" s="39">
        <v>36</v>
      </c>
    </row>
    <row r="4" spans="1:6" x14ac:dyDescent="0.25">
      <c r="A4" s="37">
        <v>3</v>
      </c>
      <c r="B4" s="37" t="s">
        <v>63</v>
      </c>
      <c r="C4" s="38">
        <v>213123123</v>
      </c>
      <c r="D4" s="37" t="s">
        <v>12</v>
      </c>
      <c r="E4" s="37" t="s">
        <v>11</v>
      </c>
      <c r="F4" s="39">
        <v>2.5</v>
      </c>
    </row>
    <row r="5" spans="1:6" x14ac:dyDescent="0.25">
      <c r="A5" s="37">
        <v>4</v>
      </c>
      <c r="B5" s="37" t="s">
        <v>64</v>
      </c>
      <c r="C5" s="38">
        <v>234433545</v>
      </c>
      <c r="D5" s="37" t="s">
        <v>14</v>
      </c>
      <c r="E5" s="37" t="s">
        <v>7</v>
      </c>
      <c r="F5" s="39">
        <v>1.5</v>
      </c>
    </row>
    <row r="6" spans="1:6" x14ac:dyDescent="0.25">
      <c r="A6" s="37">
        <v>5</v>
      </c>
      <c r="B6" s="37" t="s">
        <v>65</v>
      </c>
      <c r="C6" s="38">
        <v>45743545</v>
      </c>
      <c r="D6" s="37" t="s">
        <v>14</v>
      </c>
      <c r="E6" s="37" t="s">
        <v>7</v>
      </c>
      <c r="F6" s="39">
        <v>1.5</v>
      </c>
    </row>
    <row r="7" spans="1:6" x14ac:dyDescent="0.25">
      <c r="A7" s="37">
        <v>7</v>
      </c>
      <c r="B7" s="37" t="s">
        <v>66</v>
      </c>
      <c r="C7" s="38">
        <v>6778765567</v>
      </c>
      <c r="D7" s="37" t="s">
        <v>15</v>
      </c>
      <c r="E7" s="37" t="s">
        <v>8</v>
      </c>
      <c r="F7" s="39">
        <v>1.55</v>
      </c>
    </row>
    <row r="8" spans="1:6" x14ac:dyDescent="0.25">
      <c r="A8" s="37">
        <v>8</v>
      </c>
      <c r="B8" s="37" t="s">
        <v>67</v>
      </c>
      <c r="C8" s="38">
        <v>9789767867</v>
      </c>
      <c r="D8" s="37" t="s">
        <v>15</v>
      </c>
      <c r="E8" s="37" t="s">
        <v>8</v>
      </c>
      <c r="F8" s="39">
        <v>1.77</v>
      </c>
    </row>
    <row r="9" spans="1:6" x14ac:dyDescent="0.25">
      <c r="A9" s="37">
        <v>9</v>
      </c>
      <c r="B9" s="37" t="s">
        <v>68</v>
      </c>
      <c r="C9" s="38">
        <v>6786978555</v>
      </c>
      <c r="D9" s="37" t="s">
        <v>15</v>
      </c>
      <c r="E9" s="37" t="s">
        <v>8</v>
      </c>
      <c r="F9" s="39">
        <v>1.55</v>
      </c>
    </row>
    <row r="10" spans="1:6" x14ac:dyDescent="0.25">
      <c r="A10" s="37">
        <v>10</v>
      </c>
      <c r="B10" s="37" t="s">
        <v>69</v>
      </c>
      <c r="C10" s="38">
        <v>45638795567</v>
      </c>
      <c r="D10" s="37" t="s">
        <v>15</v>
      </c>
      <c r="E10" s="37" t="s">
        <v>5</v>
      </c>
      <c r="F10" s="39">
        <v>3.58</v>
      </c>
    </row>
    <row r="11" spans="1:6" x14ac:dyDescent="0.25">
      <c r="A11" s="37">
        <v>11</v>
      </c>
      <c r="B11" s="37" t="s">
        <v>70</v>
      </c>
      <c r="C11" s="38">
        <v>9784575679784</v>
      </c>
      <c r="D11" s="37" t="s">
        <v>71</v>
      </c>
      <c r="E11" s="37" t="s">
        <v>5</v>
      </c>
      <c r="F11" s="39">
        <v>0.99</v>
      </c>
    </row>
    <row r="12" spans="1:6" x14ac:dyDescent="0.25">
      <c r="A12" s="37">
        <v>12</v>
      </c>
      <c r="B12" s="37" t="s">
        <v>72</v>
      </c>
      <c r="C12" s="38">
        <v>6856784567</v>
      </c>
      <c r="D12" s="37" t="s">
        <v>73</v>
      </c>
      <c r="E12" s="37" t="s">
        <v>9</v>
      </c>
      <c r="F12" s="39">
        <v>2.5499999999999998</v>
      </c>
    </row>
    <row r="13" spans="1:6" x14ac:dyDescent="0.25">
      <c r="A13" s="37">
        <v>13</v>
      </c>
      <c r="B13" s="37" t="s">
        <v>74</v>
      </c>
      <c r="C13" s="38">
        <v>908</v>
      </c>
      <c r="D13" s="37" t="s">
        <v>73</v>
      </c>
      <c r="E13" s="37" t="s">
        <v>9</v>
      </c>
      <c r="F13" s="39">
        <v>2.5499999999999998</v>
      </c>
    </row>
    <row r="14" spans="1:6" x14ac:dyDescent="0.25">
      <c r="A14" s="37">
        <v>14</v>
      </c>
      <c r="B14" s="37" t="s">
        <v>75</v>
      </c>
      <c r="C14" s="38">
        <v>8908908908</v>
      </c>
      <c r="D14" s="37" t="s">
        <v>73</v>
      </c>
      <c r="E14" s="37" t="s">
        <v>9</v>
      </c>
      <c r="F14" s="39">
        <v>2.5499999999999998</v>
      </c>
    </row>
    <row r="15" spans="1:6" x14ac:dyDescent="0.25">
      <c r="A15" s="37">
        <v>15</v>
      </c>
      <c r="B15" s="37" t="s">
        <v>76</v>
      </c>
      <c r="C15" s="38">
        <v>876685678568</v>
      </c>
      <c r="D15" s="37" t="s">
        <v>77</v>
      </c>
      <c r="E15" s="37" t="s">
        <v>9</v>
      </c>
      <c r="F15" s="39">
        <v>1</v>
      </c>
    </row>
    <row r="16" spans="1:6" x14ac:dyDescent="0.25">
      <c r="A16" s="37">
        <v>16</v>
      </c>
      <c r="B16" s="37" t="s">
        <v>78</v>
      </c>
      <c r="C16" s="38">
        <v>3434343434</v>
      </c>
      <c r="D16" s="37" t="s">
        <v>15</v>
      </c>
      <c r="E16" s="37" t="s">
        <v>8</v>
      </c>
      <c r="F16" s="39">
        <v>2.5</v>
      </c>
    </row>
    <row r="17" spans="1:7" x14ac:dyDescent="0.25">
      <c r="A17" s="37">
        <v>17</v>
      </c>
      <c r="B17" s="37" t="s">
        <v>78</v>
      </c>
      <c r="C17" s="38">
        <v>3434343434</v>
      </c>
      <c r="D17" s="37" t="s">
        <v>15</v>
      </c>
      <c r="E17" s="37" t="s">
        <v>8</v>
      </c>
      <c r="F17" s="39">
        <v>2.5</v>
      </c>
    </row>
    <row r="18" spans="1:7" x14ac:dyDescent="0.25">
      <c r="A18" s="37">
        <v>18</v>
      </c>
      <c r="B18" s="37" t="s">
        <v>79</v>
      </c>
      <c r="C18" s="38">
        <v>234</v>
      </c>
      <c r="D18" s="37" t="s">
        <v>14</v>
      </c>
      <c r="E18" s="37" t="s">
        <v>5</v>
      </c>
      <c r="F18" s="39">
        <v>10</v>
      </c>
    </row>
    <row r="19" spans="1:7" x14ac:dyDescent="0.25">
      <c r="A19" s="37">
        <v>19</v>
      </c>
      <c r="B19" s="37" t="s">
        <v>79</v>
      </c>
      <c r="C19" s="38">
        <v>908</v>
      </c>
      <c r="D19" s="37" t="s">
        <v>12</v>
      </c>
      <c r="E19" s="37" t="s">
        <v>5</v>
      </c>
      <c r="F19" s="39">
        <v>10</v>
      </c>
    </row>
    <row r="20" spans="1:7" x14ac:dyDescent="0.25">
      <c r="A20" s="37">
        <v>20</v>
      </c>
      <c r="B20" s="37" t="s">
        <v>79</v>
      </c>
      <c r="C20" s="38">
        <v>908</v>
      </c>
      <c r="D20" s="37" t="s">
        <v>12</v>
      </c>
      <c r="E20" s="37" t="s">
        <v>6</v>
      </c>
      <c r="F20" s="39">
        <v>101</v>
      </c>
    </row>
    <row r="21" spans="1:7" x14ac:dyDescent="0.25">
      <c r="A21" s="37">
        <v>21</v>
      </c>
      <c r="B21" s="37" t="s">
        <v>82</v>
      </c>
      <c r="C21" s="37">
        <v>1993</v>
      </c>
      <c r="D21" s="37" t="s">
        <v>13</v>
      </c>
      <c r="E21" s="37" t="s">
        <v>6</v>
      </c>
      <c r="F21" s="39">
        <v>12332</v>
      </c>
      <c r="G21" s="1"/>
    </row>
  </sheetData>
  <dataValidations count="1">
    <dataValidation type="list" allowBlank="1" showInputMessage="1" showErrorMessage="1" sqref="E2" xr:uid="{9666CC83-3249-46FC-B45E-6EA71AB02BA5}">
      <formula1>UnidadesVenda</formula1>
    </dataValidation>
  </dataValidation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BCF62-C784-4CCA-B75E-27F308DBF1F4}">
  <sheetPr codeName="Sheet7"/>
  <dimension ref="A1:F2"/>
  <sheetViews>
    <sheetView workbookViewId="0">
      <selection activeCell="E14" sqref="E14"/>
    </sheetView>
  </sheetViews>
  <sheetFormatPr defaultRowHeight="15" x14ac:dyDescent="0.25"/>
  <cols>
    <col min="1" max="1" width="12" bestFit="1" customWidth="1"/>
    <col min="2" max="2" width="18.28515625" bestFit="1" customWidth="1"/>
    <col min="3" max="3" width="13.140625" bestFit="1" customWidth="1"/>
    <col min="4" max="4" width="18.28515625" bestFit="1" customWidth="1"/>
    <col min="5" max="5" width="33.140625" bestFit="1" customWidth="1"/>
    <col min="6" max="6" width="12.140625" bestFit="1" customWidth="1"/>
  </cols>
  <sheetData>
    <row r="1" spans="1:6" x14ac:dyDescent="0.25">
      <c r="A1" s="40" t="s">
        <v>23</v>
      </c>
      <c r="B1" s="40" t="s">
        <v>61</v>
      </c>
      <c r="C1" s="40" t="s">
        <v>25</v>
      </c>
      <c r="D1" s="40" t="s">
        <v>26</v>
      </c>
      <c r="E1" s="40" t="s">
        <v>83</v>
      </c>
      <c r="F1" s="40" t="s">
        <v>28</v>
      </c>
    </row>
    <row r="2" spans="1:6" x14ac:dyDescent="0.25">
      <c r="A2" s="41" t="s">
        <v>84</v>
      </c>
      <c r="B2" t="s">
        <v>55</v>
      </c>
      <c r="C2" t="s">
        <v>96</v>
      </c>
      <c r="D2" t="s">
        <v>97</v>
      </c>
      <c r="E2" t="s">
        <v>98</v>
      </c>
      <c r="F2" t="s">
        <v>85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"/>
  <sheetViews>
    <sheetView tabSelected="1" workbookViewId="0">
      <selection activeCell="B2" sqref="B2"/>
    </sheetView>
  </sheetViews>
  <sheetFormatPr defaultRowHeight="15" x14ac:dyDescent="0.25"/>
  <cols>
    <col min="1" max="1" width="12" bestFit="1" customWidth="1"/>
    <col min="2" max="2" width="19.7109375" bestFit="1" customWidth="1"/>
    <col min="3" max="3" width="12" bestFit="1" customWidth="1"/>
    <col min="4" max="4" width="8" bestFit="1" customWidth="1"/>
    <col min="5" max="5" width="21" bestFit="1" customWidth="1"/>
    <col min="6" max="6" width="19.7109375" customWidth="1"/>
  </cols>
  <sheetData>
    <row r="1" spans="1:6" x14ac:dyDescent="0.25">
      <c r="A1" s="6" t="s">
        <v>23</v>
      </c>
      <c r="B1" s="6" t="s">
        <v>24</v>
      </c>
      <c r="C1" s="6" t="s">
        <v>25</v>
      </c>
      <c r="D1" s="6" t="s">
        <v>26</v>
      </c>
      <c r="E1" s="6" t="s">
        <v>27</v>
      </c>
      <c r="F1" s="6" t="s">
        <v>28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J12"/>
  <sheetViews>
    <sheetView workbookViewId="0">
      <selection activeCell="B6" sqref="B6:H9"/>
    </sheetView>
  </sheetViews>
  <sheetFormatPr defaultRowHeight="15" x14ac:dyDescent="0.25"/>
  <cols>
    <col min="1" max="1" width="10.7109375" customWidth="1"/>
    <col min="2" max="2" width="9" customWidth="1"/>
    <col min="3" max="3" width="10.140625" customWidth="1"/>
    <col min="4" max="4" width="11.42578125" customWidth="1"/>
    <col min="5" max="5" width="8.42578125" bestFit="1" customWidth="1"/>
    <col min="6" max="6" width="11.42578125" bestFit="1" customWidth="1"/>
    <col min="7" max="7" width="11" bestFit="1" customWidth="1"/>
    <col min="8" max="8" width="8.7109375" bestFit="1" customWidth="1"/>
    <col min="9" max="9" width="13.140625" bestFit="1" customWidth="1"/>
  </cols>
  <sheetData>
    <row r="1" spans="1:10" ht="60" x14ac:dyDescent="0.25">
      <c r="A1" s="49" t="s">
        <v>40</v>
      </c>
      <c r="B1" s="49" t="s">
        <v>17</v>
      </c>
      <c r="C1" s="49" t="s">
        <v>41</v>
      </c>
      <c r="D1" s="49" t="s">
        <v>18</v>
      </c>
      <c r="E1" s="49" t="s">
        <v>8</v>
      </c>
      <c r="F1" s="49" t="s">
        <v>42</v>
      </c>
      <c r="G1" s="49" t="s">
        <v>43</v>
      </c>
      <c r="H1" s="49" t="s">
        <v>44</v>
      </c>
      <c r="I1" s="50" t="s">
        <v>87</v>
      </c>
      <c r="J1" s="51"/>
    </row>
    <row r="2" spans="1:10" x14ac:dyDescent="0.25">
      <c r="A2" s="18">
        <v>1</v>
      </c>
      <c r="B2" s="26">
        <v>3</v>
      </c>
      <c r="C2" s="42" t="s">
        <v>88</v>
      </c>
      <c r="D2" s="26" t="s">
        <v>63</v>
      </c>
      <c r="E2" s="26" t="s">
        <v>11</v>
      </c>
      <c r="F2" s="26">
        <v>2</v>
      </c>
      <c r="G2" s="43">
        <v>2.5</v>
      </c>
      <c r="H2" s="43">
        <v>5</v>
      </c>
      <c r="I2" s="18" t="s">
        <v>86</v>
      </c>
    </row>
    <row r="3" spans="1:10" x14ac:dyDescent="0.25">
      <c r="A3" s="18">
        <v>1</v>
      </c>
      <c r="B3" s="27">
        <v>15</v>
      </c>
      <c r="C3" s="44" t="s">
        <v>89</v>
      </c>
      <c r="D3" s="27" t="s">
        <v>76</v>
      </c>
      <c r="E3" s="27" t="s">
        <v>9</v>
      </c>
      <c r="F3" s="27">
        <v>12</v>
      </c>
      <c r="G3" s="45">
        <v>1</v>
      </c>
      <c r="H3" s="45">
        <v>12</v>
      </c>
      <c r="I3" s="18" t="s">
        <v>86</v>
      </c>
    </row>
    <row r="4" spans="1:10" x14ac:dyDescent="0.25">
      <c r="A4" s="18">
        <v>1</v>
      </c>
      <c r="B4" s="27">
        <v>3</v>
      </c>
      <c r="C4" s="44" t="s">
        <v>88</v>
      </c>
      <c r="D4" s="27" t="s">
        <v>63</v>
      </c>
      <c r="E4" s="27" t="s">
        <v>11</v>
      </c>
      <c r="F4" s="27">
        <v>22</v>
      </c>
      <c r="G4" s="45">
        <v>2.5</v>
      </c>
      <c r="H4" s="45">
        <v>55</v>
      </c>
      <c r="I4" s="18" t="s">
        <v>86</v>
      </c>
    </row>
    <row r="5" spans="1:10" x14ac:dyDescent="0.25">
      <c r="A5" s="18">
        <v>1</v>
      </c>
      <c r="B5" s="27">
        <v>4</v>
      </c>
      <c r="C5" s="44" t="s">
        <v>90</v>
      </c>
      <c r="D5" s="27" t="s">
        <v>79</v>
      </c>
      <c r="E5" s="27" t="s">
        <v>7</v>
      </c>
      <c r="F5" s="27">
        <v>44</v>
      </c>
      <c r="G5" s="45">
        <v>1.5</v>
      </c>
      <c r="H5" s="45">
        <v>66</v>
      </c>
      <c r="I5" s="18" t="s">
        <v>86</v>
      </c>
    </row>
    <row r="6" spans="1:10" x14ac:dyDescent="0.25">
      <c r="A6" s="18">
        <v>2</v>
      </c>
      <c r="B6" s="26">
        <v>3</v>
      </c>
      <c r="C6" s="42" t="s">
        <v>88</v>
      </c>
      <c r="D6" s="26" t="s">
        <v>63</v>
      </c>
      <c r="E6" s="26" t="s">
        <v>11</v>
      </c>
      <c r="F6" s="26">
        <v>2</v>
      </c>
      <c r="G6" s="43">
        <v>2.5</v>
      </c>
      <c r="H6" s="43">
        <v>5</v>
      </c>
      <c r="I6" s="18" t="s">
        <v>55</v>
      </c>
    </row>
    <row r="7" spans="1:10" x14ac:dyDescent="0.25">
      <c r="A7" s="18">
        <v>2</v>
      </c>
      <c r="B7" s="27">
        <v>15</v>
      </c>
      <c r="C7" s="44" t="s">
        <v>89</v>
      </c>
      <c r="D7" s="27" t="s">
        <v>76</v>
      </c>
      <c r="E7" s="27" t="s">
        <v>9</v>
      </c>
      <c r="F7" s="27">
        <v>10</v>
      </c>
      <c r="G7" s="45">
        <v>1</v>
      </c>
      <c r="H7" s="45">
        <v>10</v>
      </c>
      <c r="I7" s="18" t="s">
        <v>55</v>
      </c>
    </row>
    <row r="8" spans="1:10" x14ac:dyDescent="0.25">
      <c r="A8" s="18">
        <v>2</v>
      </c>
      <c r="B8" s="27">
        <v>11</v>
      </c>
      <c r="C8" s="44" t="s">
        <v>92</v>
      </c>
      <c r="D8" s="27" t="s">
        <v>70</v>
      </c>
      <c r="E8" s="27" t="s">
        <v>5</v>
      </c>
      <c r="F8" s="27">
        <v>33</v>
      </c>
      <c r="G8" s="45">
        <v>0.99</v>
      </c>
      <c r="H8" s="45">
        <v>32.67</v>
      </c>
      <c r="I8" s="18" t="s">
        <v>55</v>
      </c>
    </row>
    <row r="9" spans="1:10" x14ac:dyDescent="0.25">
      <c r="A9" s="18">
        <v>2</v>
      </c>
      <c r="B9" s="27">
        <v>8</v>
      </c>
      <c r="C9" s="44" t="s">
        <v>93</v>
      </c>
      <c r="D9" s="27" t="s">
        <v>67</v>
      </c>
      <c r="E9" s="27" t="s">
        <v>8</v>
      </c>
      <c r="F9" s="27">
        <v>222</v>
      </c>
      <c r="G9" s="45">
        <v>1.77</v>
      </c>
      <c r="H9" s="45">
        <v>392.94</v>
      </c>
      <c r="I9" s="18" t="s">
        <v>55</v>
      </c>
    </row>
    <row r="10" spans="1:10" x14ac:dyDescent="0.25">
      <c r="A10" s="18"/>
      <c r="B10" s="18"/>
      <c r="C10" s="18"/>
      <c r="D10" s="18"/>
      <c r="E10" s="18"/>
      <c r="F10" s="18"/>
      <c r="G10" s="18"/>
      <c r="H10" s="18"/>
      <c r="I10" s="18"/>
    </row>
    <row r="11" spans="1:10" x14ac:dyDescent="0.25">
      <c r="A11" s="18"/>
      <c r="B11" s="18"/>
      <c r="C11" s="18"/>
      <c r="D11" s="18"/>
      <c r="E11" s="18"/>
      <c r="F11" s="18"/>
      <c r="G11" s="18"/>
      <c r="H11" s="18"/>
      <c r="I11" s="18"/>
    </row>
    <row r="12" spans="1:10" x14ac:dyDescent="0.25">
      <c r="A12" s="18"/>
      <c r="B12" s="18"/>
      <c r="C12" s="18"/>
      <c r="D12" s="18"/>
      <c r="E12" s="18"/>
      <c r="F12" s="18"/>
      <c r="G12" s="18"/>
      <c r="H12" s="18"/>
      <c r="I12" s="18"/>
    </row>
  </sheetData>
  <sortState ref="A2:I9">
    <sortCondition ref="A2"/>
  </sortState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321F6-CC5B-4AE2-874B-9578CD80E69C}">
  <sheetPr codeName="Sheet4">
    <pageSetUpPr fitToPage="1"/>
  </sheetPr>
  <dimension ref="A1:K54"/>
  <sheetViews>
    <sheetView workbookViewId="0">
      <selection activeCell="H16" sqref="H16:I16"/>
    </sheetView>
  </sheetViews>
  <sheetFormatPr defaultColWidth="0" defaultRowHeight="15" zeroHeight="1" x14ac:dyDescent="0.25"/>
  <cols>
    <col min="1" max="1" width="0.85546875" style="17" customWidth="1"/>
    <col min="2" max="2" width="0.7109375" style="18" customWidth="1"/>
    <col min="3" max="3" width="9.140625" style="18" customWidth="1"/>
    <col min="4" max="4" width="12.42578125" style="18" customWidth="1"/>
    <col min="5" max="5" width="36.28515625" style="18" customWidth="1"/>
    <col min="6" max="9" width="9.140625" style="18" customWidth="1"/>
    <col min="10" max="10" width="0.7109375" style="21" customWidth="1"/>
    <col min="11" max="11" width="0.140625" style="19" customWidth="1"/>
    <col min="12" max="16384" width="2.42578125" style="18" hidden="1"/>
  </cols>
  <sheetData>
    <row r="1" spans="1:11" s="16" customFormat="1" ht="8.25" customHeight="1" x14ac:dyDescent="0.25">
      <c r="A1" s="15"/>
      <c r="I1" s="19"/>
      <c r="J1" s="22"/>
    </row>
    <row r="2" spans="1:11" ht="4.5" customHeight="1" x14ac:dyDescent="0.25">
      <c r="A2" s="17">
        <v>1</v>
      </c>
      <c r="B2" s="7"/>
      <c r="C2" s="8"/>
      <c r="D2" s="8"/>
      <c r="E2" s="8"/>
      <c r="F2" s="8"/>
      <c r="G2" s="8"/>
      <c r="H2" s="8"/>
      <c r="I2" s="8"/>
      <c r="J2" s="20"/>
      <c r="K2" s="23"/>
    </row>
    <row r="3" spans="1:11" ht="17.25" customHeight="1" x14ac:dyDescent="0.25">
      <c r="B3" s="9"/>
      <c r="C3" s="61" t="s">
        <v>29</v>
      </c>
      <c r="D3" s="61"/>
      <c r="E3" s="62" t="s">
        <v>30</v>
      </c>
      <c r="F3" s="62"/>
      <c r="G3" s="62"/>
      <c r="H3" s="62"/>
      <c r="I3" s="62"/>
      <c r="K3" s="23"/>
    </row>
    <row r="4" spans="1:11" x14ac:dyDescent="0.25">
      <c r="B4" s="9"/>
      <c r="C4" s="61"/>
      <c r="D4" s="61"/>
      <c r="E4" s="58" t="s">
        <v>31</v>
      </c>
      <c r="F4" s="58"/>
      <c r="G4" s="58"/>
      <c r="H4" s="58"/>
      <c r="I4" s="58"/>
      <c r="K4" s="23"/>
    </row>
    <row r="5" spans="1:11" x14ac:dyDescent="0.25">
      <c r="B5" s="9"/>
      <c r="C5" s="61"/>
      <c r="D5" s="61"/>
      <c r="K5" s="23"/>
    </row>
    <row r="6" spans="1:11" x14ac:dyDescent="0.25">
      <c r="B6" s="9"/>
      <c r="C6" s="61"/>
      <c r="D6" s="61"/>
      <c r="F6" s="58"/>
      <c r="G6" s="58"/>
      <c r="H6" s="58"/>
      <c r="K6" s="23"/>
    </row>
    <row r="7" spans="1:11" ht="15.75" x14ac:dyDescent="0.25">
      <c r="B7" s="9"/>
      <c r="C7" s="61"/>
      <c r="D7" s="61"/>
      <c r="G7" s="58" t="s">
        <v>59</v>
      </c>
      <c r="H7" s="58"/>
      <c r="I7" s="47">
        <v>3</v>
      </c>
      <c r="K7" s="23"/>
    </row>
    <row r="8" spans="1:11" x14ac:dyDescent="0.25">
      <c r="B8" s="9"/>
      <c r="K8" s="23"/>
    </row>
    <row r="9" spans="1:11" x14ac:dyDescent="0.25">
      <c r="B9" s="9"/>
      <c r="C9" s="63" t="s">
        <v>60</v>
      </c>
      <c r="D9" s="63"/>
      <c r="E9" s="60"/>
      <c r="F9" s="60"/>
      <c r="G9" s="60"/>
      <c r="H9" s="60"/>
      <c r="I9" s="60"/>
      <c r="K9" s="23"/>
    </row>
    <row r="10" spans="1:11" x14ac:dyDescent="0.25">
      <c r="B10" s="9"/>
      <c r="C10" s="63" t="s">
        <v>61</v>
      </c>
      <c r="D10" s="63"/>
      <c r="E10" s="60"/>
      <c r="F10" s="60"/>
      <c r="G10" s="60"/>
      <c r="H10" s="60"/>
      <c r="I10" s="60"/>
      <c r="K10" s="23"/>
    </row>
    <row r="11" spans="1:11" x14ac:dyDescent="0.25">
      <c r="B11" s="9"/>
      <c r="C11" s="63" t="s">
        <v>25</v>
      </c>
      <c r="D11" s="63"/>
      <c r="E11" s="60"/>
      <c r="F11" s="60"/>
      <c r="G11" s="60"/>
      <c r="H11" s="60"/>
      <c r="I11" s="60"/>
      <c r="K11" s="23"/>
    </row>
    <row r="12" spans="1:11" x14ac:dyDescent="0.25">
      <c r="B12" s="9"/>
      <c r="C12" s="46"/>
      <c r="D12" s="46"/>
      <c r="E12" s="33"/>
      <c r="F12" s="33"/>
      <c r="G12" s="33"/>
      <c r="H12" s="33"/>
      <c r="I12" s="33"/>
      <c r="K12" s="23"/>
    </row>
    <row r="13" spans="1:11" x14ac:dyDescent="0.25">
      <c r="B13" s="9"/>
      <c r="C13" s="63" t="s">
        <v>26</v>
      </c>
      <c r="D13" s="63"/>
      <c r="E13" s="60"/>
      <c r="F13" s="60"/>
      <c r="G13" s="60"/>
      <c r="H13" s="60"/>
      <c r="I13" s="60"/>
      <c r="K13" s="23"/>
    </row>
    <row r="14" spans="1:11" x14ac:dyDescent="0.25">
      <c r="B14" s="9"/>
      <c r="C14" s="33"/>
      <c r="D14" s="33"/>
      <c r="E14" s="33"/>
      <c r="F14" s="33"/>
      <c r="G14" s="33"/>
      <c r="H14" s="33"/>
      <c r="I14" s="33"/>
      <c r="K14" s="23"/>
    </row>
    <row r="15" spans="1:11" x14ac:dyDescent="0.25">
      <c r="B15" s="9"/>
      <c r="K15" s="23"/>
    </row>
    <row r="16" spans="1:11" ht="15.75" x14ac:dyDescent="0.25">
      <c r="B16" s="9"/>
      <c r="C16" s="58" t="s">
        <v>32</v>
      </c>
      <c r="D16" s="58"/>
      <c r="E16" s="48">
        <v>43324</v>
      </c>
      <c r="F16" s="58" t="s">
        <v>33</v>
      </c>
      <c r="G16" s="58"/>
      <c r="H16" s="59">
        <v>43296</v>
      </c>
      <c r="I16" s="60"/>
      <c r="K16" s="23"/>
    </row>
    <row r="17" spans="2:11" x14ac:dyDescent="0.25">
      <c r="B17" s="9"/>
      <c r="K17" s="23"/>
    </row>
    <row r="18" spans="2:11" x14ac:dyDescent="0.25">
      <c r="B18" s="9"/>
      <c r="C18" s="24" t="s">
        <v>16</v>
      </c>
      <c r="D18" s="25" t="s">
        <v>34</v>
      </c>
      <c r="E18" s="25" t="s">
        <v>18</v>
      </c>
      <c r="F18" s="24" t="s">
        <v>8</v>
      </c>
      <c r="G18" s="24" t="s">
        <v>35</v>
      </c>
      <c r="H18" s="24" t="s">
        <v>36</v>
      </c>
      <c r="I18" s="24" t="s">
        <v>37</v>
      </c>
      <c r="K18" s="23"/>
    </row>
    <row r="19" spans="2:11" x14ac:dyDescent="0.25">
      <c r="B19" s="9"/>
      <c r="C19" s="26"/>
      <c r="D19" s="42"/>
      <c r="E19" s="26"/>
      <c r="F19" s="26"/>
      <c r="G19" s="26"/>
      <c r="H19" s="43"/>
      <c r="I19" s="43"/>
      <c r="K19" s="23"/>
    </row>
    <row r="20" spans="2:11" x14ac:dyDescent="0.25">
      <c r="B20" s="9"/>
      <c r="C20" s="27"/>
      <c r="D20" s="44"/>
      <c r="E20" s="27"/>
      <c r="F20" s="27"/>
      <c r="G20" s="27"/>
      <c r="H20" s="45"/>
      <c r="I20" s="45"/>
      <c r="K20" s="23"/>
    </row>
    <row r="21" spans="2:11" x14ac:dyDescent="0.25">
      <c r="B21" s="9"/>
      <c r="C21" s="27"/>
      <c r="D21" s="44"/>
      <c r="E21" s="27"/>
      <c r="F21" s="27"/>
      <c r="G21" s="27"/>
      <c r="H21" s="45"/>
      <c r="I21" s="45"/>
      <c r="K21" s="23"/>
    </row>
    <row r="22" spans="2:11" x14ac:dyDescent="0.25">
      <c r="B22" s="9"/>
      <c r="C22" s="27"/>
      <c r="D22" s="44"/>
      <c r="E22" s="27"/>
      <c r="F22" s="27"/>
      <c r="G22" s="27"/>
      <c r="H22" s="45"/>
      <c r="I22" s="45"/>
      <c r="K22" s="23"/>
    </row>
    <row r="23" spans="2:11" x14ac:dyDescent="0.25">
      <c r="B23" s="9"/>
      <c r="C23" s="27"/>
      <c r="D23" s="44"/>
      <c r="E23" s="27"/>
      <c r="F23" s="27"/>
      <c r="G23" s="27"/>
      <c r="H23" s="45"/>
      <c r="I23" s="45"/>
      <c r="K23" s="23"/>
    </row>
    <row r="24" spans="2:11" x14ac:dyDescent="0.25">
      <c r="B24" s="9"/>
      <c r="C24" s="27"/>
      <c r="D24" s="44"/>
      <c r="E24" s="27"/>
      <c r="F24" s="27"/>
      <c r="G24" s="27"/>
      <c r="H24" s="45"/>
      <c r="I24" s="45"/>
      <c r="K24" s="23"/>
    </row>
    <row r="25" spans="2:11" x14ac:dyDescent="0.25">
      <c r="B25" s="9"/>
      <c r="C25" s="27"/>
      <c r="D25" s="27"/>
      <c r="E25" s="27"/>
      <c r="F25" s="27"/>
      <c r="G25" s="27"/>
      <c r="H25" s="27"/>
      <c r="I25" s="27"/>
      <c r="K25" s="23"/>
    </row>
    <row r="26" spans="2:11" x14ac:dyDescent="0.25">
      <c r="B26" s="9"/>
      <c r="C26" s="27"/>
      <c r="D26" s="27"/>
      <c r="E26" s="27"/>
      <c r="F26" s="27"/>
      <c r="G26" s="27"/>
      <c r="H26" s="27"/>
      <c r="I26" s="27"/>
      <c r="K26" s="23"/>
    </row>
    <row r="27" spans="2:11" x14ac:dyDescent="0.25">
      <c r="B27" s="9"/>
      <c r="C27" s="27"/>
      <c r="D27" s="27"/>
      <c r="E27" s="27"/>
      <c r="F27" s="27"/>
      <c r="G27" s="27"/>
      <c r="H27" s="27"/>
      <c r="I27" s="27"/>
      <c r="K27" s="23"/>
    </row>
    <row r="28" spans="2:11" x14ac:dyDescent="0.25">
      <c r="B28" s="9"/>
      <c r="C28" s="27"/>
      <c r="D28" s="27"/>
      <c r="E28" s="27"/>
      <c r="F28" s="27"/>
      <c r="G28" s="27"/>
      <c r="H28" s="27"/>
      <c r="I28" s="27"/>
      <c r="K28" s="23"/>
    </row>
    <row r="29" spans="2:11" x14ac:dyDescent="0.25">
      <c r="B29" s="9"/>
      <c r="C29" s="27"/>
      <c r="D29" s="27"/>
      <c r="E29" s="27"/>
      <c r="F29" s="27"/>
      <c r="G29" s="27"/>
      <c r="H29" s="27"/>
      <c r="I29" s="27"/>
      <c r="K29" s="23"/>
    </row>
    <row r="30" spans="2:11" x14ac:dyDescent="0.25">
      <c r="B30" s="9"/>
      <c r="C30" s="27"/>
      <c r="D30" s="27"/>
      <c r="E30" s="27"/>
      <c r="F30" s="27"/>
      <c r="G30" s="27"/>
      <c r="H30" s="27"/>
      <c r="I30" s="27"/>
      <c r="K30" s="23"/>
    </row>
    <row r="31" spans="2:11" x14ac:dyDescent="0.25">
      <c r="B31" s="9"/>
      <c r="C31" s="27"/>
      <c r="D31" s="27"/>
      <c r="E31" s="27"/>
      <c r="F31" s="27"/>
      <c r="G31" s="27"/>
      <c r="H31" s="27"/>
      <c r="I31" s="27"/>
      <c r="K31" s="23"/>
    </row>
    <row r="32" spans="2:11" x14ac:dyDescent="0.25">
      <c r="B32" s="9"/>
      <c r="C32" s="27"/>
      <c r="D32" s="27"/>
      <c r="E32" s="27"/>
      <c r="F32" s="27"/>
      <c r="G32" s="27"/>
      <c r="H32" s="27"/>
      <c r="I32" s="27"/>
      <c r="K32" s="23"/>
    </row>
    <row r="33" spans="2:11" x14ac:dyDescent="0.25">
      <c r="B33" s="9"/>
      <c r="C33" s="27"/>
      <c r="D33" s="27"/>
      <c r="E33" s="27"/>
      <c r="F33" s="27"/>
      <c r="G33" s="27"/>
      <c r="H33" s="27"/>
      <c r="I33" s="27"/>
      <c r="K33" s="23"/>
    </row>
    <row r="34" spans="2:11" x14ac:dyDescent="0.25">
      <c r="B34" s="9"/>
      <c r="C34" s="27"/>
      <c r="D34" s="27"/>
      <c r="E34" s="27"/>
      <c r="F34" s="27"/>
      <c r="G34" s="27"/>
      <c r="H34" s="27"/>
      <c r="I34" s="27"/>
      <c r="K34" s="23"/>
    </row>
    <row r="35" spans="2:11" x14ac:dyDescent="0.25">
      <c r="B35" s="9"/>
      <c r="C35" s="27"/>
      <c r="D35" s="27"/>
      <c r="E35" s="27"/>
      <c r="F35" s="27"/>
      <c r="G35" s="27"/>
      <c r="H35" s="27"/>
      <c r="I35" s="27"/>
      <c r="K35" s="23"/>
    </row>
    <row r="36" spans="2:11" x14ac:dyDescent="0.25">
      <c r="B36" s="9"/>
      <c r="C36" s="27"/>
      <c r="D36" s="27"/>
      <c r="E36" s="27"/>
      <c r="F36" s="27"/>
      <c r="G36" s="27"/>
      <c r="H36" s="27"/>
      <c r="I36" s="27"/>
      <c r="K36" s="23"/>
    </row>
    <row r="37" spans="2:11" x14ac:dyDescent="0.25">
      <c r="B37" s="9"/>
      <c r="C37" s="27"/>
      <c r="D37" s="27"/>
      <c r="E37" s="27"/>
      <c r="F37" s="27"/>
      <c r="G37" s="27"/>
      <c r="H37" s="27"/>
      <c r="I37" s="27"/>
      <c r="K37" s="23"/>
    </row>
    <row r="38" spans="2:11" x14ac:dyDescent="0.25">
      <c r="B38" s="9"/>
      <c r="C38" s="27"/>
      <c r="D38" s="27"/>
      <c r="E38" s="27"/>
      <c r="F38" s="27"/>
      <c r="G38" s="27"/>
      <c r="H38" s="27"/>
      <c r="I38" s="27"/>
      <c r="K38" s="23"/>
    </row>
    <row r="39" spans="2:11" x14ac:dyDescent="0.25">
      <c r="B39" s="9"/>
      <c r="C39" s="27"/>
      <c r="D39" s="27"/>
      <c r="E39" s="27"/>
      <c r="F39" s="27"/>
      <c r="G39" s="27"/>
      <c r="H39" s="27"/>
      <c r="I39" s="27"/>
      <c r="K39" s="23"/>
    </row>
    <row r="40" spans="2:11" x14ac:dyDescent="0.25">
      <c r="B40" s="9"/>
      <c r="C40" s="27"/>
      <c r="D40" s="27"/>
      <c r="E40" s="27"/>
      <c r="F40" s="27"/>
      <c r="G40" s="27"/>
      <c r="H40" s="27"/>
      <c r="I40" s="27"/>
      <c r="K40" s="23"/>
    </row>
    <row r="41" spans="2:11" x14ac:dyDescent="0.25">
      <c r="B41" s="9"/>
      <c r="C41" s="27"/>
      <c r="D41" s="27"/>
      <c r="E41" s="27"/>
      <c r="F41" s="27"/>
      <c r="G41" s="27"/>
      <c r="H41" s="27"/>
      <c r="I41" s="27"/>
      <c r="K41" s="23"/>
    </row>
    <row r="42" spans="2:11" x14ac:dyDescent="0.25">
      <c r="B42" s="9"/>
      <c r="C42" s="27"/>
      <c r="D42" s="27"/>
      <c r="E42" s="27"/>
      <c r="F42" s="27"/>
      <c r="G42" s="27"/>
      <c r="H42" s="27"/>
      <c r="I42" s="27"/>
      <c r="K42" s="23"/>
    </row>
    <row r="43" spans="2:11" x14ac:dyDescent="0.25">
      <c r="B43" s="9"/>
      <c r="C43" s="27"/>
      <c r="D43" s="27"/>
      <c r="E43" s="27"/>
      <c r="F43" s="27"/>
      <c r="G43" s="27"/>
      <c r="H43" s="27"/>
      <c r="I43" s="27"/>
      <c r="K43" s="23"/>
    </row>
    <row r="44" spans="2:11" x14ac:dyDescent="0.25">
      <c r="B44" s="9"/>
      <c r="C44" s="27"/>
      <c r="D44" s="27"/>
      <c r="E44" s="27"/>
      <c r="F44" s="27"/>
      <c r="G44" s="27"/>
      <c r="H44" s="27"/>
      <c r="I44" s="27"/>
      <c r="K44" s="23"/>
    </row>
    <row r="45" spans="2:11" x14ac:dyDescent="0.25">
      <c r="B45" s="9"/>
      <c r="C45" s="27"/>
      <c r="D45" s="27"/>
      <c r="E45" s="29" t="s">
        <v>38</v>
      </c>
      <c r="F45" s="31">
        <v>0</v>
      </c>
      <c r="G45" s="27"/>
      <c r="H45" s="27"/>
      <c r="I45" s="27"/>
      <c r="K45" s="23"/>
    </row>
    <row r="46" spans="2:11" x14ac:dyDescent="0.25">
      <c r="B46" s="9"/>
      <c r="C46" s="27"/>
      <c r="D46" s="27"/>
      <c r="E46" s="29" t="s">
        <v>39</v>
      </c>
      <c r="F46" s="30">
        <v>0</v>
      </c>
      <c r="G46" s="27"/>
      <c r="H46" s="27"/>
      <c r="I46" s="27"/>
      <c r="K46" s="23"/>
    </row>
    <row r="47" spans="2:11" x14ac:dyDescent="0.25">
      <c r="B47" s="9"/>
      <c r="C47" s="27"/>
      <c r="D47" s="27"/>
      <c r="E47" s="27"/>
      <c r="F47" s="27"/>
      <c r="G47" s="27"/>
      <c r="H47" s="27"/>
      <c r="I47" s="27"/>
      <c r="K47" s="23"/>
    </row>
    <row r="48" spans="2:11" x14ac:dyDescent="0.25">
      <c r="B48" s="9"/>
      <c r="C48" s="27"/>
      <c r="D48" s="27"/>
      <c r="E48" s="27"/>
      <c r="F48" s="27"/>
      <c r="G48" s="27"/>
      <c r="H48" s="27"/>
      <c r="I48" s="27"/>
      <c r="K48" s="23"/>
    </row>
    <row r="49" spans="1:11" x14ac:dyDescent="0.25">
      <c r="B49" s="9"/>
      <c r="C49" s="27"/>
      <c r="D49" s="27"/>
      <c r="E49" s="27"/>
      <c r="F49" s="27"/>
      <c r="G49" s="27"/>
      <c r="H49" s="27"/>
      <c r="I49" s="27"/>
      <c r="K49" s="23"/>
    </row>
    <row r="50" spans="1:11" x14ac:dyDescent="0.25">
      <c r="B50" s="9"/>
      <c r="C50" s="27"/>
      <c r="D50" s="27"/>
      <c r="E50" s="27"/>
      <c r="F50" s="27"/>
      <c r="G50" s="27"/>
      <c r="H50" s="27"/>
      <c r="I50" s="27"/>
      <c r="K50" s="23"/>
    </row>
    <row r="51" spans="1:11" x14ac:dyDescent="0.25">
      <c r="B51" s="9"/>
      <c r="C51" s="27"/>
      <c r="D51" s="27"/>
      <c r="E51" s="27"/>
      <c r="F51" s="27"/>
      <c r="G51" s="27"/>
      <c r="H51" s="27"/>
      <c r="I51" s="27"/>
      <c r="K51" s="23"/>
    </row>
    <row r="52" spans="1:11" x14ac:dyDescent="0.25">
      <c r="B52" s="9"/>
      <c r="C52" s="27"/>
      <c r="D52" s="27"/>
      <c r="E52" s="27"/>
      <c r="F52" s="27"/>
      <c r="G52" s="27"/>
      <c r="H52" s="27"/>
      <c r="I52" s="27"/>
      <c r="K52" s="23"/>
    </row>
    <row r="53" spans="1:11" ht="3" customHeight="1" x14ac:dyDescent="0.25">
      <c r="B53" s="10"/>
      <c r="C53" s="28"/>
      <c r="D53" s="28"/>
      <c r="E53" s="28"/>
      <c r="F53" s="28"/>
      <c r="G53" s="28"/>
      <c r="H53" s="28"/>
      <c r="I53" s="28"/>
      <c r="J53" s="11"/>
      <c r="K53" s="23"/>
    </row>
    <row r="54" spans="1:11" s="19" customFormat="1" ht="2.25" customHeight="1" x14ac:dyDescent="0.25">
      <c r="A54" s="17"/>
      <c r="B54" s="17"/>
      <c r="J54" s="23"/>
    </row>
  </sheetData>
  <mergeCells count="16">
    <mergeCell ref="C16:D16"/>
    <mergeCell ref="F16:G16"/>
    <mergeCell ref="H16:I16"/>
    <mergeCell ref="C3:D7"/>
    <mergeCell ref="E3:I3"/>
    <mergeCell ref="E4:I4"/>
    <mergeCell ref="F6:H6"/>
    <mergeCell ref="G7:H7"/>
    <mergeCell ref="C9:D9"/>
    <mergeCell ref="E9:I9"/>
    <mergeCell ref="C10:D10"/>
    <mergeCell ref="E10:I10"/>
    <mergeCell ref="C11:D11"/>
    <mergeCell ref="E11:I11"/>
    <mergeCell ref="C13:D13"/>
    <mergeCell ref="E13:I13"/>
  </mergeCells>
  <printOptions horizontalCentered="1" verticalCentered="1"/>
  <pageMargins left="0.39370078740157483" right="0.39370078740157483" top="0.39370078740157483" bottom="0.39370078740157483" header="0.19685039370078741" footer="0.19685039370078741"/>
  <pageSetup paperSize="9" scale="9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6DEFA-0B11-4940-9303-1FD884DAB112}">
  <sheetPr codeName="Sheet5"/>
  <dimension ref="A1:R54"/>
  <sheetViews>
    <sheetView showGridLines="0" workbookViewId="0">
      <selection activeCell="E16" sqref="E16"/>
    </sheetView>
  </sheetViews>
  <sheetFormatPr defaultColWidth="0" defaultRowHeight="15" zeroHeight="1" x14ac:dyDescent="0.25"/>
  <cols>
    <col min="1" max="1" width="0.28515625" style="17" customWidth="1"/>
    <col min="2" max="2" width="0.7109375" style="18" customWidth="1"/>
    <col min="3" max="3" width="9.140625" style="18" customWidth="1"/>
    <col min="4" max="4" width="12.42578125" style="18" customWidth="1"/>
    <col min="5" max="5" width="36.28515625" style="18" customWidth="1"/>
    <col min="6" max="9" width="9.140625" style="18" customWidth="1"/>
    <col min="10" max="10" width="0.7109375" style="21" customWidth="1"/>
    <col min="11" max="11" width="0.140625" style="19" customWidth="1"/>
    <col min="12" max="16384" width="2.42578125" style="18" hidden="1"/>
  </cols>
  <sheetData>
    <row r="1" spans="1:18" s="16" customFormat="1" ht="4.5" customHeight="1" x14ac:dyDescent="0.25">
      <c r="A1" s="15"/>
      <c r="I1" s="19"/>
      <c r="J1" s="22"/>
    </row>
    <row r="2" spans="1:18" ht="4.5" customHeight="1" x14ac:dyDescent="0.25">
      <c r="B2" s="7"/>
      <c r="C2" s="8"/>
      <c r="D2" s="8"/>
      <c r="E2" s="8"/>
      <c r="F2" s="8"/>
      <c r="G2" s="8"/>
      <c r="H2" s="8"/>
      <c r="I2" s="8"/>
      <c r="J2" s="20"/>
      <c r="K2" s="23"/>
    </row>
    <row r="3" spans="1:18" ht="18.75" x14ac:dyDescent="0.3">
      <c r="B3" s="9"/>
      <c r="C3" s="61" t="s">
        <v>29</v>
      </c>
      <c r="D3" s="61"/>
      <c r="E3" s="64" t="s">
        <v>55</v>
      </c>
      <c r="F3" s="64"/>
      <c r="G3" s="64"/>
      <c r="H3" s="64"/>
      <c r="I3" s="64"/>
      <c r="K3" s="23"/>
    </row>
    <row r="4" spans="1:18" x14ac:dyDescent="0.25">
      <c r="B4" s="9"/>
      <c r="C4" s="61"/>
      <c r="D4" s="61"/>
      <c r="E4" s="58" t="s">
        <v>56</v>
      </c>
      <c r="F4" s="58"/>
      <c r="G4" s="58"/>
      <c r="H4" s="58"/>
      <c r="I4" s="58"/>
      <c r="K4" s="23"/>
    </row>
    <row r="5" spans="1:18" x14ac:dyDescent="0.25">
      <c r="B5" s="9"/>
      <c r="C5" s="61"/>
      <c r="D5" s="61"/>
      <c r="E5" s="58" t="s">
        <v>62</v>
      </c>
      <c r="F5" s="58"/>
      <c r="G5" s="58"/>
      <c r="H5" s="58"/>
      <c r="I5" s="58"/>
      <c r="K5" s="23"/>
    </row>
    <row r="6" spans="1:18" x14ac:dyDescent="0.25">
      <c r="B6" s="9"/>
      <c r="C6" s="61"/>
      <c r="D6" s="61"/>
      <c r="E6" s="58" t="s">
        <v>54</v>
      </c>
      <c r="F6" s="58"/>
      <c r="G6" s="58"/>
      <c r="H6" s="58"/>
      <c r="I6" s="58"/>
      <c r="K6" s="23"/>
    </row>
    <row r="7" spans="1:18" x14ac:dyDescent="0.25">
      <c r="B7" s="9"/>
      <c r="C7" s="61"/>
      <c r="D7" s="61"/>
      <c r="K7" s="23"/>
    </row>
    <row r="8" spans="1:18" x14ac:dyDescent="0.25">
      <c r="B8" s="9"/>
      <c r="G8" s="58" t="s">
        <v>59</v>
      </c>
      <c r="H8" s="58"/>
      <c r="I8" s="36">
        <v>2</v>
      </c>
      <c r="K8" s="23"/>
    </row>
    <row r="9" spans="1:18" x14ac:dyDescent="0.25">
      <c r="B9" s="9"/>
      <c r="C9" s="34"/>
      <c r="D9" s="34"/>
      <c r="E9" s="34"/>
      <c r="F9" s="34"/>
      <c r="G9" s="34"/>
      <c r="H9" s="34"/>
      <c r="I9" s="34"/>
      <c r="K9" s="23"/>
    </row>
    <row r="10" spans="1:18" x14ac:dyDescent="0.25">
      <c r="B10" s="9"/>
      <c r="C10" s="63" t="s">
        <v>60</v>
      </c>
      <c r="D10" s="63"/>
      <c r="E10" s="60" t="str">
        <f>INDEX(Clientes!A:F,MATCH('Orcamento para Impressao'!E11:I11,Clientes!B:B,0),1)</f>
        <v>11222333444458</v>
      </c>
      <c r="F10" s="60"/>
      <c r="G10" s="60"/>
      <c r="H10" s="60"/>
      <c r="I10" s="60"/>
      <c r="K10" s="23"/>
    </row>
    <row r="11" spans="1:18" x14ac:dyDescent="0.25">
      <c r="B11" s="9"/>
      <c r="C11" s="63" t="s">
        <v>61</v>
      </c>
      <c r="D11" s="63"/>
      <c r="E11" s="60" t="s">
        <v>55</v>
      </c>
      <c r="F11" s="60"/>
      <c r="G11" s="60"/>
      <c r="H11" s="60"/>
      <c r="I11" s="60"/>
      <c r="K11" s="23"/>
      <c r="R11" s="18" t="s">
        <v>55</v>
      </c>
    </row>
    <row r="12" spans="1:18" x14ac:dyDescent="0.25">
      <c r="B12" s="9"/>
      <c r="C12" s="63" t="s">
        <v>25</v>
      </c>
      <c r="D12" s="63"/>
      <c r="E12" s="60" t="str">
        <f>INDEX(Clientes!A:F,MATCH('Orcamento para Impressao'!E11:I11,Clientes!B:B,0),3)</f>
        <v>(11)1234.5677342</v>
      </c>
      <c r="F12" s="60"/>
      <c r="G12" s="60"/>
      <c r="H12" s="60"/>
      <c r="I12" s="60"/>
      <c r="K12" s="23"/>
    </row>
    <row r="13" spans="1:18" x14ac:dyDescent="0.25">
      <c r="B13" s="9"/>
      <c r="C13" s="35"/>
      <c r="D13" s="35"/>
      <c r="E13" s="33"/>
      <c r="F13" s="33"/>
      <c r="G13" s="33"/>
      <c r="H13" s="33"/>
      <c r="I13" s="33"/>
      <c r="K13" s="23"/>
    </row>
    <row r="14" spans="1:18" x14ac:dyDescent="0.25">
      <c r="B14" s="9"/>
      <c r="C14" s="63" t="s">
        <v>26</v>
      </c>
      <c r="D14" s="63"/>
      <c r="E14" s="60" t="str">
        <f>INDEX(Clientes!A:F,MATCH('Orcamento para Impressao'!E11:I11,Clientes!B:B,0),4)</f>
        <v>Extra AtendimentoFSD</v>
      </c>
      <c r="F14" s="60"/>
      <c r="G14" s="60"/>
      <c r="H14" s="60"/>
      <c r="I14" s="60"/>
      <c r="K14" s="23"/>
    </row>
    <row r="15" spans="1:18" x14ac:dyDescent="0.25">
      <c r="B15" s="9"/>
      <c r="K15" s="23"/>
    </row>
    <row r="16" spans="1:18" x14ac:dyDescent="0.25">
      <c r="B16" s="9"/>
      <c r="C16" s="58" t="s">
        <v>32</v>
      </c>
      <c r="D16" s="58"/>
      <c r="E16" s="57">
        <v>43324</v>
      </c>
      <c r="F16" s="58" t="s">
        <v>33</v>
      </c>
      <c r="G16" s="58"/>
      <c r="H16" s="60" t="s">
        <v>95</v>
      </c>
      <c r="I16" s="60"/>
      <c r="K16" s="23"/>
    </row>
    <row r="17" spans="2:11" x14ac:dyDescent="0.25">
      <c r="B17" s="9"/>
      <c r="K17" s="23"/>
    </row>
    <row r="18" spans="2:11" x14ac:dyDescent="0.25">
      <c r="B18" s="9"/>
      <c r="C18" s="24" t="s">
        <v>16</v>
      </c>
      <c r="D18" s="25" t="s">
        <v>34</v>
      </c>
      <c r="E18" s="25" t="s">
        <v>18</v>
      </c>
      <c r="F18" s="24" t="s">
        <v>8</v>
      </c>
      <c r="G18" s="24" t="s">
        <v>35</v>
      </c>
      <c r="H18" s="24" t="s">
        <v>36</v>
      </c>
      <c r="I18" s="24" t="s">
        <v>37</v>
      </c>
      <c r="K18" s="23"/>
    </row>
    <row r="19" spans="2:11" x14ac:dyDescent="0.25">
      <c r="B19" s="9"/>
      <c r="C19" s="26">
        <v>3</v>
      </c>
      <c r="D19" s="42" t="s">
        <v>88</v>
      </c>
      <c r="E19" s="26" t="s">
        <v>63</v>
      </c>
      <c r="F19" s="26" t="s">
        <v>11</v>
      </c>
      <c r="G19" s="26">
        <v>2</v>
      </c>
      <c r="H19" s="43">
        <v>2.5</v>
      </c>
      <c r="I19" s="43">
        <v>5</v>
      </c>
      <c r="K19" s="23"/>
    </row>
    <row r="20" spans="2:11" x14ac:dyDescent="0.25">
      <c r="B20" s="9"/>
      <c r="C20" s="27">
        <v>15</v>
      </c>
      <c r="D20" s="44" t="s">
        <v>89</v>
      </c>
      <c r="E20" s="27" t="s">
        <v>76</v>
      </c>
      <c r="F20" s="27" t="s">
        <v>9</v>
      </c>
      <c r="G20" s="27">
        <v>10</v>
      </c>
      <c r="H20" s="45">
        <v>1</v>
      </c>
      <c r="I20" s="45">
        <v>10</v>
      </c>
      <c r="K20" s="23"/>
    </row>
    <row r="21" spans="2:11" x14ac:dyDescent="0.25">
      <c r="B21" s="9"/>
      <c r="C21" s="27">
        <v>11</v>
      </c>
      <c r="D21" s="44" t="s">
        <v>92</v>
      </c>
      <c r="E21" s="27" t="s">
        <v>70</v>
      </c>
      <c r="F21" s="27" t="s">
        <v>5</v>
      </c>
      <c r="G21" s="27">
        <v>33</v>
      </c>
      <c r="H21" s="45">
        <v>0.99</v>
      </c>
      <c r="I21" s="45">
        <v>32.67</v>
      </c>
      <c r="K21" s="23"/>
    </row>
    <row r="22" spans="2:11" x14ac:dyDescent="0.25">
      <c r="B22" s="9"/>
      <c r="C22" s="27">
        <v>8</v>
      </c>
      <c r="D22" s="44" t="s">
        <v>93</v>
      </c>
      <c r="E22" s="27" t="s">
        <v>67</v>
      </c>
      <c r="F22" s="27" t="s">
        <v>8</v>
      </c>
      <c r="G22" s="27">
        <v>222</v>
      </c>
      <c r="H22" s="45">
        <v>1.77</v>
      </c>
      <c r="I22" s="45">
        <v>392.94</v>
      </c>
      <c r="K22" s="23"/>
    </row>
    <row r="23" spans="2:11" x14ac:dyDescent="0.25">
      <c r="B23" s="9"/>
      <c r="C23" s="27"/>
      <c r="D23" s="27"/>
      <c r="E23" s="27"/>
      <c r="F23" s="27"/>
      <c r="G23" s="27"/>
      <c r="H23" s="27"/>
      <c r="I23" s="27"/>
      <c r="K23" s="23"/>
    </row>
    <row r="24" spans="2:11" x14ac:dyDescent="0.25">
      <c r="B24" s="9"/>
      <c r="C24" s="27"/>
      <c r="D24" s="27"/>
      <c r="E24" s="27"/>
      <c r="F24" s="27"/>
      <c r="G24" s="27"/>
      <c r="H24" s="27"/>
      <c r="I24" s="27"/>
      <c r="K24" s="23"/>
    </row>
    <row r="25" spans="2:11" x14ac:dyDescent="0.25">
      <c r="B25" s="9"/>
      <c r="C25" s="27"/>
      <c r="D25" s="27"/>
      <c r="E25" s="27"/>
      <c r="F25" s="27"/>
      <c r="G25" s="27"/>
      <c r="H25" s="27"/>
      <c r="I25" s="27"/>
      <c r="K25" s="23"/>
    </row>
    <row r="26" spans="2:11" x14ac:dyDescent="0.25">
      <c r="B26" s="9"/>
      <c r="C26" s="27"/>
      <c r="D26" s="27"/>
      <c r="E26" s="27"/>
      <c r="F26" s="27"/>
      <c r="G26" s="27"/>
      <c r="H26" s="27"/>
      <c r="I26" s="27"/>
      <c r="K26" s="23"/>
    </row>
    <row r="27" spans="2:11" x14ac:dyDescent="0.25">
      <c r="B27" s="9"/>
      <c r="C27" s="27"/>
      <c r="D27" s="27"/>
      <c r="E27" s="27"/>
      <c r="F27" s="27"/>
      <c r="G27" s="27"/>
      <c r="H27" s="27"/>
      <c r="I27" s="27"/>
      <c r="K27" s="23"/>
    </row>
    <row r="28" spans="2:11" x14ac:dyDescent="0.25">
      <c r="B28" s="9"/>
      <c r="C28" s="27"/>
      <c r="D28" s="27"/>
      <c r="E28" s="27"/>
      <c r="F28" s="27"/>
      <c r="G28" s="27"/>
      <c r="H28" s="27"/>
      <c r="I28" s="27"/>
      <c r="K28" s="23"/>
    </row>
    <row r="29" spans="2:11" x14ac:dyDescent="0.25">
      <c r="B29" s="9"/>
      <c r="C29" s="27"/>
      <c r="D29" s="27"/>
      <c r="E29" s="27"/>
      <c r="F29" s="27"/>
      <c r="G29" s="27"/>
      <c r="H29" s="27"/>
      <c r="I29" s="27"/>
      <c r="K29" s="23"/>
    </row>
    <row r="30" spans="2:11" x14ac:dyDescent="0.25">
      <c r="B30" s="9"/>
      <c r="C30" s="27"/>
      <c r="D30" s="27"/>
      <c r="E30" s="27"/>
      <c r="F30" s="27"/>
      <c r="G30" s="27"/>
      <c r="H30" s="27"/>
      <c r="I30" s="27"/>
      <c r="K30" s="23"/>
    </row>
    <row r="31" spans="2:11" x14ac:dyDescent="0.25">
      <c r="B31" s="9"/>
      <c r="C31" s="27"/>
      <c r="D31" s="27"/>
      <c r="E31" s="27"/>
      <c r="F31" s="27"/>
      <c r="G31" s="27"/>
      <c r="H31" s="27"/>
      <c r="I31" s="27"/>
      <c r="K31" s="23"/>
    </row>
    <row r="32" spans="2:11" x14ac:dyDescent="0.25">
      <c r="B32" s="9"/>
      <c r="C32" s="27"/>
      <c r="D32" s="27"/>
      <c r="E32" s="27"/>
      <c r="F32" s="27"/>
      <c r="G32" s="27"/>
      <c r="H32" s="27"/>
      <c r="I32" s="27"/>
      <c r="K32" s="23"/>
    </row>
    <row r="33" spans="2:11" x14ac:dyDescent="0.25">
      <c r="B33" s="9"/>
      <c r="C33" s="27"/>
      <c r="D33" s="27"/>
      <c r="E33" s="27"/>
      <c r="F33" s="27"/>
      <c r="G33" s="27"/>
      <c r="H33" s="27"/>
      <c r="I33" s="27"/>
      <c r="K33" s="23"/>
    </row>
    <row r="34" spans="2:11" x14ac:dyDescent="0.25">
      <c r="B34" s="9"/>
      <c r="C34" s="27"/>
      <c r="D34" s="27"/>
      <c r="E34" s="27"/>
      <c r="F34" s="27"/>
      <c r="G34" s="27"/>
      <c r="H34" s="27"/>
      <c r="I34" s="27"/>
      <c r="K34" s="23"/>
    </row>
    <row r="35" spans="2:11" x14ac:dyDescent="0.25">
      <c r="B35" s="9"/>
      <c r="C35" s="27"/>
      <c r="D35" s="27"/>
      <c r="E35" s="27"/>
      <c r="F35" s="27"/>
      <c r="G35" s="27"/>
      <c r="H35" s="27"/>
      <c r="I35" s="27"/>
      <c r="K35" s="23"/>
    </row>
    <row r="36" spans="2:11" x14ac:dyDescent="0.25">
      <c r="B36" s="9"/>
      <c r="C36" s="27"/>
      <c r="D36" s="27"/>
      <c r="E36" s="27"/>
      <c r="F36" s="27"/>
      <c r="G36" s="27"/>
      <c r="H36" s="27"/>
      <c r="I36" s="27"/>
      <c r="K36" s="23"/>
    </row>
    <row r="37" spans="2:11" x14ac:dyDescent="0.25">
      <c r="B37" s="9"/>
      <c r="C37" s="27"/>
      <c r="D37" s="27"/>
      <c r="E37" s="27"/>
      <c r="F37" s="27"/>
      <c r="G37" s="27"/>
      <c r="H37" s="27"/>
      <c r="I37" s="27"/>
      <c r="K37" s="23"/>
    </row>
    <row r="38" spans="2:11" x14ac:dyDescent="0.25">
      <c r="B38" s="9"/>
      <c r="C38" s="27"/>
      <c r="D38" s="27"/>
      <c r="E38" s="27"/>
      <c r="F38" s="27"/>
      <c r="G38" s="27"/>
      <c r="H38" s="27"/>
      <c r="I38" s="27"/>
      <c r="K38" s="23"/>
    </row>
    <row r="39" spans="2:11" x14ac:dyDescent="0.25">
      <c r="B39" s="9"/>
      <c r="C39" s="27"/>
      <c r="D39" s="27"/>
      <c r="E39" s="27"/>
      <c r="F39" s="27"/>
      <c r="G39" s="27"/>
      <c r="H39" s="27"/>
      <c r="I39" s="27"/>
      <c r="K39" s="23"/>
    </row>
    <row r="40" spans="2:11" x14ac:dyDescent="0.25">
      <c r="B40" s="9"/>
      <c r="C40" s="27"/>
      <c r="D40" s="27"/>
      <c r="E40" s="27"/>
      <c r="F40" s="27"/>
      <c r="G40" s="27"/>
      <c r="H40" s="27"/>
      <c r="I40" s="27"/>
      <c r="K40" s="23"/>
    </row>
    <row r="41" spans="2:11" x14ac:dyDescent="0.25">
      <c r="B41" s="9"/>
      <c r="C41" s="27"/>
      <c r="D41" s="27"/>
      <c r="E41" s="27"/>
      <c r="F41" s="27"/>
      <c r="G41" s="27"/>
      <c r="H41" s="27"/>
      <c r="I41" s="27"/>
      <c r="K41" s="23"/>
    </row>
    <row r="42" spans="2:11" x14ac:dyDescent="0.25">
      <c r="B42" s="9"/>
      <c r="C42" s="27"/>
      <c r="D42" s="27"/>
      <c r="E42" s="27"/>
      <c r="F42" s="27"/>
      <c r="G42" s="27"/>
      <c r="H42" s="27"/>
      <c r="I42" s="27"/>
      <c r="K42" s="23"/>
    </row>
    <row r="43" spans="2:11" x14ac:dyDescent="0.25">
      <c r="B43" s="9"/>
      <c r="C43" s="27"/>
      <c r="D43" s="27"/>
      <c r="E43" s="27"/>
      <c r="F43" s="27"/>
      <c r="G43" s="27"/>
      <c r="H43" s="27"/>
      <c r="I43" s="27"/>
      <c r="K43" s="23"/>
    </row>
    <row r="44" spans="2:11" x14ac:dyDescent="0.25">
      <c r="B44" s="9"/>
      <c r="K44" s="23"/>
    </row>
    <row r="45" spans="2:11" x14ac:dyDescent="0.25">
      <c r="B45" s="9"/>
      <c r="E45" s="52" t="s">
        <v>38</v>
      </c>
      <c r="F45" s="53">
        <f>COUNTA(C19:C44)</f>
        <v>4</v>
      </c>
      <c r="K45" s="23"/>
    </row>
    <row r="46" spans="2:11" x14ac:dyDescent="0.25">
      <c r="B46" s="9"/>
      <c r="E46" s="52" t="s">
        <v>39</v>
      </c>
      <c r="F46" s="54">
        <f>SUM(I19:I43)</f>
        <v>440.61</v>
      </c>
      <c r="K46" s="23"/>
    </row>
    <row r="47" spans="2:11" x14ac:dyDescent="0.25">
      <c r="B47" s="9"/>
      <c r="K47" s="23"/>
    </row>
    <row r="48" spans="2:11" x14ac:dyDescent="0.25">
      <c r="B48" s="9"/>
      <c r="E48" s="56" t="s">
        <v>94</v>
      </c>
      <c r="F48" s="55"/>
      <c r="G48" s="55"/>
      <c r="H48" s="55"/>
      <c r="I48" s="55"/>
      <c r="K48" s="23"/>
    </row>
    <row r="49" spans="1:11" x14ac:dyDescent="0.25">
      <c r="B49" s="9"/>
      <c r="K49" s="23"/>
    </row>
    <row r="50" spans="1:11" x14ac:dyDescent="0.25">
      <c r="B50" s="9"/>
      <c r="K50" s="23"/>
    </row>
    <row r="51" spans="1:11" x14ac:dyDescent="0.25">
      <c r="B51" s="9"/>
      <c r="K51" s="23"/>
    </row>
    <row r="52" spans="1:11" x14ac:dyDescent="0.25">
      <c r="B52" s="9"/>
      <c r="K52" s="23"/>
    </row>
    <row r="53" spans="1:11" ht="3" customHeight="1" x14ac:dyDescent="0.25">
      <c r="B53" s="10"/>
      <c r="C53" s="55"/>
      <c r="D53" s="55"/>
      <c r="E53" s="55"/>
      <c r="F53" s="55"/>
      <c r="G53" s="55"/>
      <c r="H53" s="55"/>
      <c r="I53" s="55"/>
      <c r="J53" s="11"/>
      <c r="K53" s="23"/>
    </row>
    <row r="54" spans="1:11" s="19" customFormat="1" ht="2.25" customHeight="1" x14ac:dyDescent="0.25">
      <c r="A54" s="17"/>
      <c r="B54" s="17"/>
      <c r="J54" s="23"/>
    </row>
  </sheetData>
  <mergeCells count="17">
    <mergeCell ref="E12:I12"/>
    <mergeCell ref="C16:D16"/>
    <mergeCell ref="F16:G16"/>
    <mergeCell ref="H16:I16"/>
    <mergeCell ref="C14:D14"/>
    <mergeCell ref="E14:I14"/>
    <mergeCell ref="C12:D12"/>
    <mergeCell ref="E5:I5"/>
    <mergeCell ref="E6:I6"/>
    <mergeCell ref="C10:D10"/>
    <mergeCell ref="C11:D11"/>
    <mergeCell ref="E10:I10"/>
    <mergeCell ref="C3:D7"/>
    <mergeCell ref="E3:I3"/>
    <mergeCell ref="E4:I4"/>
    <mergeCell ref="G8:H8"/>
    <mergeCell ref="E11:I11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9"/>
  <sheetViews>
    <sheetView workbookViewId="0">
      <selection activeCell="H2" sqref="H2"/>
    </sheetView>
  </sheetViews>
  <sheetFormatPr defaultRowHeight="15" x14ac:dyDescent="0.25"/>
  <cols>
    <col min="1" max="1" width="18.42578125" bestFit="1" customWidth="1"/>
    <col min="2" max="2" width="1.85546875" customWidth="1"/>
    <col min="3" max="3" width="19" bestFit="1" customWidth="1"/>
    <col min="4" max="4" width="1.85546875" customWidth="1"/>
    <col min="5" max="5" width="9.42578125" bestFit="1" customWidth="1"/>
    <col min="6" max="6" width="18" bestFit="1" customWidth="1"/>
    <col min="7" max="7" width="1.85546875" customWidth="1"/>
    <col min="8" max="8" width="26.85546875" bestFit="1" customWidth="1"/>
    <col min="9" max="9" width="1.85546875" customWidth="1"/>
    <col min="10" max="10" width="9.5703125" bestFit="1" customWidth="1"/>
    <col min="11" max="11" width="25.85546875" bestFit="1" customWidth="1"/>
    <col min="12" max="12" width="1.85546875" customWidth="1"/>
    <col min="13" max="13" width="11.42578125" bestFit="1" customWidth="1"/>
  </cols>
  <sheetData>
    <row r="1" spans="1:14" x14ac:dyDescent="0.25">
      <c r="A1" s="2" t="s">
        <v>0</v>
      </c>
      <c r="C1" s="2" t="s">
        <v>1</v>
      </c>
      <c r="E1" s="2" t="s">
        <v>2</v>
      </c>
      <c r="F1" s="2" t="s">
        <v>3</v>
      </c>
      <c r="H1" s="2" t="s">
        <v>4</v>
      </c>
      <c r="J1" s="65" t="s">
        <v>45</v>
      </c>
      <c r="K1" s="65"/>
      <c r="L1" s="32"/>
      <c r="M1" s="2" t="s">
        <v>91</v>
      </c>
    </row>
    <row r="2" spans="1:14" x14ac:dyDescent="0.25">
      <c r="A2" t="s">
        <v>5</v>
      </c>
      <c r="C2" t="s">
        <v>12</v>
      </c>
      <c r="E2" s="37" t="s">
        <v>76</v>
      </c>
      <c r="F2" s="38">
        <v>876685678568</v>
      </c>
      <c r="H2" s="1">
        <v>28</v>
      </c>
      <c r="J2" t="s">
        <v>46</v>
      </c>
      <c r="K2" s="12" t="s">
        <v>55</v>
      </c>
      <c r="M2">
        <v>1</v>
      </c>
      <c r="N2" t="s">
        <v>86</v>
      </c>
    </row>
    <row r="3" spans="1:14" x14ac:dyDescent="0.25">
      <c r="A3" t="s">
        <v>6</v>
      </c>
      <c r="C3" t="s">
        <v>13</v>
      </c>
      <c r="E3" s="37" t="s">
        <v>64</v>
      </c>
      <c r="F3" s="38">
        <v>234433545</v>
      </c>
      <c r="J3" t="s">
        <v>47</v>
      </c>
      <c r="K3" s="13" t="s">
        <v>48</v>
      </c>
      <c r="M3">
        <v>2</v>
      </c>
      <c r="N3" t="s">
        <v>55</v>
      </c>
    </row>
    <row r="4" spans="1:14" x14ac:dyDescent="0.25">
      <c r="A4" t="s">
        <v>7</v>
      </c>
      <c r="C4" t="s">
        <v>14</v>
      </c>
      <c r="E4" s="37" t="s">
        <v>65</v>
      </c>
      <c r="F4" s="38">
        <v>45743545</v>
      </c>
      <c r="J4" t="s">
        <v>49</v>
      </c>
      <c r="K4" s="12" t="s">
        <v>56</v>
      </c>
    </row>
    <row r="5" spans="1:14" x14ac:dyDescent="0.25">
      <c r="A5" t="s">
        <v>8</v>
      </c>
      <c r="C5" t="s">
        <v>15</v>
      </c>
      <c r="E5" s="37" t="s">
        <v>63</v>
      </c>
      <c r="F5" s="38">
        <v>213123123</v>
      </c>
      <c r="J5" t="s">
        <v>50</v>
      </c>
      <c r="K5" s="12" t="s">
        <v>57</v>
      </c>
    </row>
    <row r="6" spans="1:14" x14ac:dyDescent="0.25">
      <c r="A6" t="s">
        <v>9</v>
      </c>
      <c r="E6" s="37" t="s">
        <v>67</v>
      </c>
      <c r="F6" s="38">
        <v>9789767867</v>
      </c>
      <c r="J6" t="s">
        <v>51</v>
      </c>
      <c r="K6" s="12" t="s">
        <v>52</v>
      </c>
    </row>
    <row r="7" spans="1:14" x14ac:dyDescent="0.25">
      <c r="A7" t="s">
        <v>10</v>
      </c>
      <c r="E7" s="37" t="s">
        <v>68</v>
      </c>
      <c r="F7" s="38">
        <v>6786978555</v>
      </c>
      <c r="J7" t="s">
        <v>53</v>
      </c>
      <c r="K7" s="12" t="s">
        <v>58</v>
      </c>
    </row>
    <row r="8" spans="1:14" x14ac:dyDescent="0.25">
      <c r="A8" t="s">
        <v>11</v>
      </c>
      <c r="E8" s="37" t="s">
        <v>80</v>
      </c>
      <c r="F8" s="38">
        <v>2223333</v>
      </c>
      <c r="J8" t="s">
        <v>23</v>
      </c>
      <c r="K8" s="14" t="s">
        <v>54</v>
      </c>
    </row>
    <row r="9" spans="1:14" x14ac:dyDescent="0.25">
      <c r="E9" s="37" t="s">
        <v>81</v>
      </c>
      <c r="F9" s="38">
        <v>1123232</v>
      </c>
    </row>
    <row r="10" spans="1:14" x14ac:dyDescent="0.25">
      <c r="E10" s="37" t="s">
        <v>82</v>
      </c>
      <c r="F10" s="37">
        <v>1993</v>
      </c>
    </row>
    <row r="11" spans="1:14" x14ac:dyDescent="0.25">
      <c r="E11" s="37" t="s">
        <v>78</v>
      </c>
      <c r="F11" s="38">
        <v>3434343434</v>
      </c>
    </row>
    <row r="12" spans="1:14" x14ac:dyDescent="0.25">
      <c r="E12" s="37" t="s">
        <v>74</v>
      </c>
      <c r="F12" s="38">
        <v>908</v>
      </c>
    </row>
    <row r="13" spans="1:14" x14ac:dyDescent="0.25">
      <c r="E13" s="37" t="s">
        <v>72</v>
      </c>
      <c r="F13" s="38">
        <v>6856784567</v>
      </c>
    </row>
    <row r="14" spans="1:14" x14ac:dyDescent="0.25">
      <c r="E14" s="37" t="s">
        <v>75</v>
      </c>
      <c r="F14" s="38">
        <v>8908908908</v>
      </c>
    </row>
    <row r="15" spans="1:14" x14ac:dyDescent="0.25">
      <c r="E15" s="37" t="s">
        <v>69</v>
      </c>
      <c r="F15" s="38">
        <v>45638795567</v>
      </c>
    </row>
    <row r="16" spans="1:14" x14ac:dyDescent="0.25">
      <c r="E16" s="37" t="s">
        <v>66</v>
      </c>
      <c r="F16" s="38">
        <v>6778765567</v>
      </c>
    </row>
    <row r="17" spans="5:6" x14ac:dyDescent="0.25">
      <c r="E17" s="37" t="s">
        <v>70</v>
      </c>
      <c r="F17" s="38">
        <v>9784575679784</v>
      </c>
    </row>
    <row r="18" spans="5:6" x14ac:dyDescent="0.25">
      <c r="E18" s="37" t="s">
        <v>79</v>
      </c>
      <c r="F18" s="38">
        <v>234</v>
      </c>
    </row>
    <row r="19" spans="5:6" x14ac:dyDescent="0.25">
      <c r="E19" s="37" t="s">
        <v>79</v>
      </c>
      <c r="F19" s="38">
        <v>908</v>
      </c>
    </row>
  </sheetData>
  <sortState ref="E2:F19">
    <sortCondition ref="E2"/>
  </sortState>
  <mergeCells count="1">
    <mergeCell ref="J1:K1"/>
  </mergeCells>
  <hyperlinks>
    <hyperlink ref="K3" r:id="rId1" xr:uid="{00000000-0004-0000-0400-000000000000}"/>
  </hyperlink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Produtos</vt:lpstr>
      <vt:lpstr>Clientes</vt:lpstr>
      <vt:lpstr>Fornecedor</vt:lpstr>
      <vt:lpstr>Orcamentos Salvos</vt:lpstr>
      <vt:lpstr>Orcamento Matriz</vt:lpstr>
      <vt:lpstr>Orcamento para Impressao</vt:lpstr>
      <vt:lpstr>LISTAS</vt:lpstr>
      <vt:lpstr>_Orcamento</vt:lpstr>
      <vt:lpstr>_OrcamentoImprimir</vt:lpstr>
      <vt:lpstr>'Orcamento Matriz'!_Print_Area</vt:lpstr>
      <vt:lpstr>_Produtos</vt:lpstr>
      <vt:lpstr>LISTAS!Extract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Alessandro Trovato</dc:creator>
  <cp:lastModifiedBy>natal</cp:lastModifiedBy>
  <cp:lastPrinted>2018-07-12T16:38:07Z</cp:lastPrinted>
  <dcterms:created xsi:type="dcterms:W3CDTF">2015-11-21T17:05:21Z</dcterms:created>
  <dcterms:modified xsi:type="dcterms:W3CDTF">2018-07-21T19:56:48Z</dcterms:modified>
</cp:coreProperties>
</file>